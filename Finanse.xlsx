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013-11\Downloads\"/>
    </mc:Choice>
  </mc:AlternateContent>
  <xr:revisionPtr revIDLastSave="0" documentId="13_ncr:1_{02301E00-EF97-4D69-B27B-C8E5FB663EFC}" xr6:coauthVersionLast="47" xr6:coauthVersionMax="47" xr10:uidLastSave="{00000000-0000-0000-0000-000000000000}"/>
  <bookViews>
    <workbookView xWindow="-120" yWindow="-120" windowWidth="29040" windowHeight="15840" activeTab="2" xr2:uid="{19EE711A-3283-4873-9107-9C9869A047C7}"/>
  </bookViews>
  <sheets>
    <sheet name="dictionary" sheetId="3" r:id="rId1"/>
    <sheet name="operations" sheetId="2" r:id="rId2"/>
    <sheet name="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4" l="1"/>
  <c r="E5" i="4"/>
  <c r="E6" i="4"/>
  <c r="E8" i="4"/>
  <c r="E3" i="4"/>
  <c r="E7" i="4"/>
  <c r="B11" i="4" a="1"/>
  <c r="B11" i="4" s="1"/>
  <c r="C9" i="4"/>
  <c r="B17" i="4"/>
  <c r="K11" i="4"/>
  <c r="H8" i="4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D9" i="4" l="1"/>
  <c r="E2" i="4"/>
  <c r="E9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<sst xmlns="http://schemas.openxmlformats.org/spreadsheetml/2006/main" count="710" uniqueCount="42">
  <si>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</si>
  <si>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</si>
  <si>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</si>
  <si>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</si>
  <si>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</si>
  <si>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</si>
  <si>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</si>
  <si>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</si>
  <si>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</si>
  <si>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</si>
  <si>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</si>
  <si>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</si>
  <si>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</si>
  <si>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</si>
  <si>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</si>
  <si>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</si>
  <si>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</si>
  <si>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</si>
  <si>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</si>
  <si>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</si>
  <si>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</si>
  <si>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</si>
  <si>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</si>
  <si>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</si>
  <si>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</si>
  <si>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</si>
  <si>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</si>
  <si>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</si>
  <si>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</si>
  <si>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</si>
  <si>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</si>
  <si>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</si>
  <si>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</si>
  <si>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</si>
  <si>
    <t>Opening balance</t>
  </si>
  <si>
    <t>Operations</t>
  </si>
  <si>
    <t>Closing balance</t>
  </si>
  <si>
    <t>Millenium</t>
  </si>
  <si>
    <t>Other incomes</t>
  </si>
  <si>
    <t>Total</t>
  </si>
  <si>
    <t>Column1</t>
  </si>
  <si>
    <t>SUMIFS(operations[Amount],operations[Bank],[@Bank], operations[Product],[@Product],operations[Month])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</si>
</sst>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\ &quot;zł&quot;;[Red]\-#,##0.00\ &quot;zł&quot;"/>
    <numFmt numFmtId="166" formatCode="_-* #,##0.00\ [$zł-415]_-;\-* #,##0.00\ [$zł-415]_-;_-* &quot;-&quot;??\ [$zł-415]_-;_-@_-"/>
  </numFmts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7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0" fillId="0" borderId="0" xfId="0" applyNumberFormat="1"/>
    <xf numFmtId="166" fontId="0" fillId="0" borderId="0" xfId="0" applyNumberFormat="1"/>
    <xf numFmtId="166" fontId="0" fillId="0" borderId="0" xfId="1" applyNumberFormat="1" applyFont="1"/>
    <xf numFmtId="44" fontId="0" fillId="0" borderId="0" xfId="0" applyNumberFormat="1"/>
    <xf numFmtId="166" fontId="0" fillId="0" borderId="1" xfId="0" applyNumberFormat="1" applyFont="1" applyBorder="1"/>
  </cellXfs>
  <cellStyles count="2">
    <cellStyle name="Currency" xfId="1" builtinId="4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34" formatCode="_(&quot;$&quot;* #,##0.00_);_(&quot;$&quot;* \(#,##0.00\);_(&quot;$&quot;* &quot;-&quot;??_);_(@_)"/>
    </dxf>
    <dxf>
      <numFmt numFmtId="166" formatCode="_-* #,##0.00\ [$zł-415]_-;\-* #,##0.00\ [$zł-415]_-;_-* &quot;-&quot;??\ [$zł-415]_-;_-@_-"/>
    </dxf>
    <dxf>
      <numFmt numFmtId="34" formatCode="_(&quot;$&quot;* #,##0.00_);_(&quot;$&quot;* \(#,##0.00\);_(&quot;$&quot;* &quot;-&quot;??_);_(@_)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7B0597-DF39-447B-925D-915314CD4787}" name="Table2" displayName="Table2" ref="A1:B17" totalsRowShown="0">
  <autoFilter ref="A1:B17" xr:uid="{227B0597-DF39-447B-925D-915314CD4787}"/>
  <sortState xmlns:xlrd2="http://schemas.microsoft.com/office/spreadsheetml/2017/richdata2" ref="A2:B17">
    <sortCondition ref="B2:B17"/>
    <sortCondition ref="A2:A17"/>
  </sortState>
  <tableColumns count="2">
    <tableColumn id="1" xr3:uid="{7BE167A2-51ED-498B-8528-63EA1A98230D}" name="Category" dataDxfId="21"/>
    <tableColumn id="2" xr3:uid="{FCE55062-5D8F-42DD-A921-FDF63872FE4E}" name="Type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30CB1F-20B7-44F8-AD62-FF8AA0BFB6D4}" name="Table4" displayName="Table4" ref="A1:G207" totalsRowShown="0" headerRowDxfId="20" dataDxfId="19">
  <autoFilter ref="A1:G207" xr:uid="{9830CB1F-20B7-44F8-AD62-FF8AA0BFB6D4}"/>
  <tableColumns count="7">
    <tableColumn id="1" xr3:uid="{C514E3AB-67F2-4447-8086-DD799509FE88}" name="Amount" dataDxfId="18"/>
    <tableColumn id="2" xr3:uid="{0B51B951-97AB-40FE-A719-7C286848D82D}" name="Bank" dataDxfId="17"/>
    <tableColumn id="3" xr3:uid="{00E44FA5-EDEB-412C-A166-D4A00701A2D5}" name="Product" dataDxfId="16"/>
    <tableColumn id="4" xr3:uid="{5F7016C3-997E-4BF9-8147-FD0F3567B4B0}" name="Category" dataDxfId="15"/>
    <tableColumn id="5" xr3:uid="{8B1814A4-6B3F-4AD4-98A3-8309371C7771}" name="Type" dataDxfId="14">
      <calculatedColumnFormula>_xlfn.XLOOKUP(Table4[[#This Row],[Category]],Table2[Category],Table2[Type],"",0,1)</calculatedColumnFormula>
    </tableColumn>
    <tableColumn id="6" xr3:uid="{9EBCCDBA-E950-45FF-8518-ABFA9C8360DC}" name="Date" dataDxfId="13"/>
    <tableColumn id="7" xr3:uid="{E754D223-628E-455C-865A-D6978499CEEB}" name="Month" dataDxfId="12">
      <calculatedColumnFormula>MONTH(Table4[[#This Row],[Date]])</calculatedColumnFormula>
    </tableColumn>
  </tableColumns>
  <tableStyleInfo name="TableStyleLight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8A9933-A754-4C1B-811A-664B33EDF4D7}" name="Table1" displayName="Table1" ref="A1:E9" totalsRowCount="1">
  <autoFilter ref="A1:E8" xr:uid="{6C8A9933-A754-4C1B-811A-664B33EDF4D7}"/>
  <tableColumns count="5">
    <tableColumn id="1" xr3:uid="{0330083B-CCF4-465E-B654-50695C04CEE0}" name="Bank" totalsRowLabel="Total"/>
    <tableColumn id="2" xr3:uid="{6D49D493-02D3-4841-9E0F-943CD1413F04}" name="Product"/>
    <tableColumn id="3" xr3:uid="{ECACC51C-BC6B-49D9-A089-43EB21C76936}" name="Opening balance" totalsRowFunction="sum" dataDxfId="4" totalsRowDxfId="2"/>
    <tableColumn id="4" xr3:uid="{9B2D01D2-2F90-4608-B897-33ED9D93D235}" name="Operations" totalsRowFunction="sum" dataDxfId="5" totalsRowDxfId="1"/>
    <tableColumn id="5" xr3:uid="{A547AAEC-5C66-48BD-ACBB-A21E4F18CA77}" name="Closing balance" totalsRowFunction="sum" dataDxfId="3" totalsRowDxfId="0" totalsRowCellStyle="Currency">
      <calculatedColumnFormula>Table1[[#This Row],[Operations]]+Table1[[#This Row],[Operations]]</calculatedColumnFormula>
    </tableColumn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341A0F-777F-4CE9-8470-5238E29B769D}" name="Table3" displayName="Table3" ref="G1:H8" totalsRowCount="1">
  <autoFilter ref="G1:H7" xr:uid="{E6341A0F-777F-4CE9-8470-5238E29B769D}"/>
  <tableColumns count="2">
    <tableColumn id="1" xr3:uid="{E40893CE-C0AE-48D5-A847-F30178DAC88F}" name="Category" totalsRowLabel="Total" totalsRowDxfId="11"/>
    <tableColumn id="2" xr3:uid="{0A1938E9-5585-4942-9C53-6F0E1CC89611}" name="Total" totalsRowFunction="count" dataDxfId="10" totalsRowDxfId="9" totalsRowCellStyle="Currency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7DAA74-5840-4B0C-8383-05B389D888FF}" name="Table5" displayName="Table5" ref="J1:K11" totalsRowCount="1">
  <autoFilter ref="J1:K10" xr:uid="{B77DAA74-5840-4B0C-8383-05B389D888FF}"/>
  <tableColumns count="2">
    <tableColumn id="1" xr3:uid="{87E1C362-5FBF-491D-98FC-D99C98CD0876}" name="Category" totalsRowLabel="Total"/>
    <tableColumn id="2" xr3:uid="{345697B5-0FC3-44BE-B03B-4FF5E514533C}" name="Total" totalsRowFunction="count" dataDxfId="8" totalsRowDxfId="7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DC9F96-7E57-478D-96CC-E86C1B4549F7}" name="Table6" displayName="Table6" ref="A13:B17" totalsRowCount="1">
  <autoFilter ref="A13:B16" xr:uid="{BEDC9F96-7E57-478D-96CC-E86C1B4549F7}"/>
  <tableColumns count="2">
    <tableColumn id="1" xr3:uid="{D7B22886-83CA-4629-B47E-0D01D0D69EC6}" name="Type" totalsRowLabel="Total"/>
    <tableColumn id="2" xr3:uid="{858501E2-C29C-4BB0-B3F5-7897ED764C3C}" name="Total" totalsRowFunction="count" dataDxfId="6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6046-CDF4-4D12-9D43-A9FD9CC47B6F}">
  <dimension ref="A1:B17"/>
  <sheetViews>
    <sheetView workbookViewId="0">
      <selection activeCell="B2" sqref="B2:B17"/>
    </sheetView>
  </sheetViews>
  <sheetFormatPr defaultRowHeight="15" x14ac:dyDescent="0.25"/>
  <cols>
    <col min="1" max="1" width="16" bestFit="1" customWidth="1"/>
  </cols>
  <sheetData>
    <row r="1" spans="1:2" x14ac:dyDescent="0.25">
      <c r="A1" s="1" t="s">
        <v>3</v>
      </c>
      <c r="B1" t="s">
        <v>4</v>
      </c>
    </row>
    <row r="2" spans="1:2" x14ac:dyDescent="0.25">
      <c r="A2" s="1" t="s">
        <v>18</v>
      </c>
      <c r="B2" t="s">
        <v>32</v>
      </c>
    </row>
    <row r="3" spans="1:2" x14ac:dyDescent="0.25">
      <c r="A3" s="1" t="s">
        <v>22</v>
      </c>
      <c r="B3" t="s">
        <v>32</v>
      </c>
    </row>
    <row r="4" spans="1:2" x14ac:dyDescent="0.25">
      <c r="A4" s="1" t="s">
        <v>20</v>
      </c>
      <c r="B4" t="s">
        <v>32</v>
      </c>
    </row>
    <row r="5" spans="1:2" x14ac:dyDescent="0.25">
      <c r="A5" s="1" t="s">
        <v>17</v>
      </c>
      <c r="B5" t="s">
        <v>32</v>
      </c>
    </row>
    <row r="6" spans="1:2" x14ac:dyDescent="0.25">
      <c r="A6" s="1" t="s">
        <v>21</v>
      </c>
      <c r="B6" t="s">
        <v>32</v>
      </c>
    </row>
    <row r="7" spans="1:2" x14ac:dyDescent="0.25">
      <c r="A7" s="1" t="s">
        <v>19</v>
      </c>
      <c r="B7" t="s">
        <v>32</v>
      </c>
    </row>
    <row r="8" spans="1:2" x14ac:dyDescent="0.25">
      <c r="A8" s="1" t="s">
        <v>24</v>
      </c>
      <c r="B8" t="s">
        <v>32</v>
      </c>
    </row>
    <row r="9" spans="1:2" x14ac:dyDescent="0.25">
      <c r="A9" s="1" t="s">
        <v>23</v>
      </c>
      <c r="B9" t="s">
        <v>32</v>
      </c>
    </row>
    <row r="10" spans="1:2" x14ac:dyDescent="0.25">
      <c r="A10" s="1" t="s">
        <v>16</v>
      </c>
      <c r="B10" t="s">
        <v>32</v>
      </c>
    </row>
    <row r="11" spans="1:2" x14ac:dyDescent="0.25">
      <c r="A11" s="1" t="s">
        <v>25</v>
      </c>
      <c r="B11" t="s">
        <v>33</v>
      </c>
    </row>
    <row r="12" spans="1:2" x14ac:dyDescent="0.25">
      <c r="A12" s="1" t="s">
        <v>28</v>
      </c>
      <c r="B12" t="s">
        <v>33</v>
      </c>
    </row>
    <row r="13" spans="1:2" x14ac:dyDescent="0.25">
      <c r="A13" s="1" t="s">
        <v>29</v>
      </c>
      <c r="B13" t="s">
        <v>33</v>
      </c>
    </row>
    <row r="14" spans="1:2" x14ac:dyDescent="0.25">
      <c r="A14" s="1" t="s">
        <v>30</v>
      </c>
      <c r="B14" t="s">
        <v>33</v>
      </c>
    </row>
    <row r="15" spans="1:2" x14ac:dyDescent="0.25">
      <c r="A15" s="1" t="s">
        <v>26</v>
      </c>
      <c r="B15" t="s">
        <v>33</v>
      </c>
    </row>
    <row r="16" spans="1:2" x14ac:dyDescent="0.25">
      <c r="A16" s="1" t="s">
        <v>27</v>
      </c>
      <c r="B16" t="s">
        <v>33</v>
      </c>
    </row>
    <row r="17" spans="1:2" x14ac:dyDescent="0.25">
      <c r="A17" s="1" t="s">
        <v>31</v>
      </c>
      <c r="B17" t="s">
        <v>31</v>
      </c>
    </row>
  </sheetData>
  <sortState xmlns:xlrd2="http://schemas.microsoft.com/office/spreadsheetml/2017/richdata2" ref="A2:B17">
    <sortCondition ref="A2:A17"/>
  </sortState>
  <dataValidations count="1">
    <dataValidation type="list" allowBlank="1" showInputMessage="1" showErrorMessage="1" sqref="B2:B17" xr:uid="{CEF54B5F-725D-4703-A453-264580B3C81A}">
      <formula1>"Income, Expense, Transfer"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workbookViewId="0">
      <selection activeCell="D2" sqref="D2:D207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18.5703125" bestFit="1" customWidth="1"/>
    <col min="4" max="4" width="16" bestFit="1" customWidth="1"/>
    <col min="5" max="5" width="9.5703125" customWidth="1"/>
    <col min="6" max="6" width="11.28515625" bestFit="1" customWidth="1"/>
    <col min="7" max="7" width="8.710937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_xlfn.XLOOKUP(Table4[[#This Row],[Category]],Table2[Category],Table2[Type],"",0,1)</f>
        <v>Expense</v>
      </c>
      <c r="F2" s="3">
        <v>45296</v>
      </c>
      <c r="G2" s="1">
        <f>MONTH(Table4[[#This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_xlfn.XLOOKUP(Table4[[#This Row],[Category]],Table2[Category],Table2[Type],"",0,1)</f>
        <v>Income</v>
      </c>
      <c r="F3" s="3">
        <v>45301</v>
      </c>
      <c r="G3" s="1">
        <f>MONTH(Table4[[#This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_xlfn.XLOOKUP(Table4[[#This Row],[Category]],Table2[Category],Table2[Type],"",0,1)</f>
        <v>Expense</v>
      </c>
      <c r="F4" s="3">
        <v>45302</v>
      </c>
      <c r="G4" s="1">
        <f>MONTH(Table4[[#This Row],[Date]])</f>
        <v>1</v>
      </c>
    </row>
    <row r="5" spans="1:7" x14ac:dyDescent="0.25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_xlfn.XLOOKUP(Table4[[#This Row],[Category]],Table2[Category],Table2[Type],"",0,1)</f>
        <v>Expense</v>
      </c>
      <c r="F5" s="3">
        <v>45305</v>
      </c>
      <c r="G5" s="1">
        <f>MONTH(Table4[[#This Row],[Date]])</f>
        <v>1</v>
      </c>
    </row>
    <row r="6" spans="1:7" x14ac:dyDescent="0.25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_xlfn.XLOOKUP(Table4[[#This Row],[Category]],Table2[Category],Table2[Type],"",0,1)</f>
        <v>Expense</v>
      </c>
      <c r="F6" s="3">
        <v>45306</v>
      </c>
      <c r="G6" s="1">
        <f>MONTH(Table4[[#This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_xlfn.XLOOKUP(Table4[[#This Row],[Category]],Table2[Category],Table2[Type],"",0,1)</f>
        <v>Expense</v>
      </c>
      <c r="F7" s="3">
        <v>45307</v>
      </c>
      <c r="G7" s="1">
        <f>MONTH(Table4[[#This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_xlfn.XLOOKUP(Table4[[#This Row],[Category]],Table2[Category],Table2[Type],"",0,1)</f>
        <v>Income</v>
      </c>
      <c r="F8" s="3">
        <v>45308</v>
      </c>
      <c r="G8" s="1">
        <f>MONTH(Table4[[#This Row],[Date]])</f>
        <v>1</v>
      </c>
    </row>
    <row r="9" spans="1:7" x14ac:dyDescent="0.25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_xlfn.XLOOKUP(Table4[[#This Row],[Category]],Table2[Category],Table2[Type],"",0,1)</f>
        <v>Expense</v>
      </c>
      <c r="F9" s="3">
        <v>45308</v>
      </c>
      <c r="G9" s="1">
        <f>MONTH(Table4[[#This Row],[Date]])</f>
        <v>1</v>
      </c>
    </row>
    <row r="10" spans="1:7" x14ac:dyDescent="0.25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_xlfn.XLOOKUP(Table4[[#This Row],[Category]],Table2[Category],Table2[Type],"",0,1)</f>
        <v>Income</v>
      </c>
      <c r="F10" s="3">
        <v>45308</v>
      </c>
      <c r="G10" s="1">
        <f>MONTH(Table4[[#This Row],[Date]])</f>
        <v>1</v>
      </c>
    </row>
    <row r="11" spans="1:7" x14ac:dyDescent="0.25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_xlfn.XLOOKUP(Table4[[#This Row],[Category]],Table2[Category],Table2[Type],"",0,1)</f>
        <v>Expense</v>
      </c>
      <c r="F11" s="3">
        <v>45310</v>
      </c>
      <c r="G11" s="1">
        <f>MONTH(Table4[[#This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_xlfn.XLOOKUP(Table4[[#This Row],[Category]],Table2[Category],Table2[Type],"",0,1)</f>
        <v>Expense</v>
      </c>
      <c r="F12" s="3">
        <v>45311</v>
      </c>
      <c r="G12" s="1">
        <f>MONTH(Table4[[#This Row],[Date]])</f>
        <v>1</v>
      </c>
    </row>
    <row r="13" spans="1:7" x14ac:dyDescent="0.25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_xlfn.XLOOKUP(Table4[[#This Row],[Category]],Table2[Category],Table2[Type],"",0,1)</f>
        <v>Income</v>
      </c>
      <c r="F13" s="3">
        <v>45312</v>
      </c>
      <c r="G13" s="1">
        <f>MONTH(Table4[[#This Row],[Date]])</f>
        <v>1</v>
      </c>
    </row>
    <row r="14" spans="1:7" x14ac:dyDescent="0.25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_xlfn.XLOOKUP(Table4[[#This Row],[Category]],Table2[Category],Table2[Type],"",0,1)</f>
        <v>Expense</v>
      </c>
      <c r="F14" s="3">
        <v>45313</v>
      </c>
      <c r="G14" s="1">
        <f>MONTH(Table4[[#This Row],[Date]])</f>
        <v>1</v>
      </c>
    </row>
    <row r="15" spans="1:7" x14ac:dyDescent="0.25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_xlfn.XLOOKUP(Table4[[#This Row],[Category]],Table2[Category],Table2[Type],"",0,1)</f>
        <v>Expense</v>
      </c>
      <c r="F15" s="3">
        <v>45314</v>
      </c>
      <c r="G15" s="1">
        <f>MONTH(Table4[[#This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_xlfn.XLOOKUP(Table4[[#This Row],[Category]],Table2[Category],Table2[Type],"",0,1)</f>
        <v>Expense</v>
      </c>
      <c r="F16" s="3">
        <v>45315</v>
      </c>
      <c r="G16" s="1">
        <f>MONTH(Table4[[#This Row],[Date]])</f>
        <v>1</v>
      </c>
    </row>
    <row r="17" spans="1:7" x14ac:dyDescent="0.25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_xlfn.XLOOKUP(Table4[[#This Row],[Category]],Table2[Category],Table2[Type],"",0,1)</f>
        <v>Expense</v>
      </c>
      <c r="F17" s="3">
        <v>45316</v>
      </c>
      <c r="G17" s="1">
        <f>MONTH(Table4[[#This Row],[Date]])</f>
        <v>1</v>
      </c>
    </row>
    <row r="18" spans="1:7" x14ac:dyDescent="0.25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_xlfn.XLOOKUP(Table4[[#This Row],[Category]],Table2[Category],Table2[Type],"",0,1)</f>
        <v>Income</v>
      </c>
      <c r="F18" s="3">
        <v>45316</v>
      </c>
      <c r="G18" s="1">
        <f>MONTH(Table4[[#This Row],[Date]])</f>
        <v>1</v>
      </c>
    </row>
    <row r="19" spans="1:7" x14ac:dyDescent="0.25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_xlfn.XLOOKUP(Table4[[#This Row],[Category]],Table2[Category],Table2[Type],"",0,1)</f>
        <v>Income</v>
      </c>
      <c r="F19" s="3">
        <v>45317</v>
      </c>
      <c r="G19" s="1">
        <f>MONTH(Table4[[#This Row],[Date]])</f>
        <v>1</v>
      </c>
    </row>
    <row r="20" spans="1:7" x14ac:dyDescent="0.25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_xlfn.XLOOKUP(Table4[[#This Row],[Category]],Table2[Category],Table2[Type],"",0,1)</f>
        <v>Income</v>
      </c>
      <c r="F20" s="3">
        <v>45318</v>
      </c>
      <c r="G20" s="1">
        <f>MONTH(Table4[[#This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_xlfn.XLOOKUP(Table4[[#This Row],[Category]],Table2[Category],Table2[Type],"",0,1)</f>
        <v>Expense</v>
      </c>
      <c r="F21" s="3">
        <v>45319</v>
      </c>
      <c r="G21" s="1">
        <f>MONTH(Table4[[#This Row],[Date]])</f>
        <v>1</v>
      </c>
    </row>
    <row r="22" spans="1:7" x14ac:dyDescent="0.25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_xlfn.XLOOKUP(Table4[[#This Row],[Category]],Table2[Category],Table2[Type],"",0,1)</f>
        <v>Income</v>
      </c>
      <c r="F22" s="3">
        <v>45324</v>
      </c>
      <c r="G22" s="1">
        <f>MONTH(Table4[[#This Row],[Date]])</f>
        <v>2</v>
      </c>
    </row>
    <row r="23" spans="1:7" x14ac:dyDescent="0.25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_xlfn.XLOOKUP(Table4[[#This Row],[Category]],Table2[Category],Table2[Type],"",0,1)</f>
        <v>Expense</v>
      </c>
      <c r="F23" s="3">
        <v>45326</v>
      </c>
      <c r="G23" s="1">
        <f>MONTH(Table4[[#This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_xlfn.XLOOKUP(Table4[[#This Row],[Category]],Table2[Category],Table2[Type],"",0,1)</f>
        <v>Expense</v>
      </c>
      <c r="F24" s="3">
        <v>45328</v>
      </c>
      <c r="G24" s="1">
        <f>MONTH(Table4[[#This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_xlfn.XLOOKUP(Table4[[#This Row],[Category]],Table2[Category],Table2[Type],"",0,1)</f>
        <v>Income</v>
      </c>
      <c r="F25" s="3">
        <v>45332</v>
      </c>
      <c r="G25" s="1">
        <f>MONTH(Table4[[#This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_xlfn.XLOOKUP(Table4[[#This Row],[Category]],Table2[Category],Table2[Type],"",0,1)</f>
        <v>Expense</v>
      </c>
      <c r="F26" s="3">
        <v>45333</v>
      </c>
      <c r="G26" s="1">
        <f>MONTH(Table4[[#This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_xlfn.XLOOKUP(Table4[[#This Row],[Category]],Table2[Category],Table2[Type],"",0,1)</f>
        <v>Expense</v>
      </c>
      <c r="F27" s="3">
        <v>45335</v>
      </c>
      <c r="G27" s="1">
        <f>MONTH(Table4[[#This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_xlfn.XLOOKUP(Table4[[#This Row],[Category]],Table2[Category],Table2[Type],"",0,1)</f>
        <v>Income</v>
      </c>
      <c r="F28" s="3">
        <v>45336</v>
      </c>
      <c r="G28" s="1">
        <f>MONTH(Table4[[#This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_xlfn.XLOOKUP(Table4[[#This Row],[Category]],Table2[Category],Table2[Type],"",0,1)</f>
        <v>Expense</v>
      </c>
      <c r="F29" s="3">
        <v>45336</v>
      </c>
      <c r="G29" s="1">
        <f>MONTH(Table4[[#This Row],[Date]])</f>
        <v>2</v>
      </c>
    </row>
    <row r="30" spans="1:7" x14ac:dyDescent="0.25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_xlfn.XLOOKUP(Table4[[#This Row],[Category]],Table2[Category],Table2[Type],"",0,1)</f>
        <v>Expense</v>
      </c>
      <c r="F30" s="3">
        <v>45336</v>
      </c>
      <c r="G30" s="1">
        <f>MONTH(Table4[[#This Row],[Date]])</f>
        <v>2</v>
      </c>
    </row>
    <row r="31" spans="1:7" x14ac:dyDescent="0.25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_xlfn.XLOOKUP(Table4[[#This Row],[Category]],Table2[Category],Table2[Type],"",0,1)</f>
        <v>Expense</v>
      </c>
      <c r="F31" s="3">
        <v>45336</v>
      </c>
      <c r="G31" s="1">
        <f>MONTH(Table4[[#This Row],[Date]])</f>
        <v>2</v>
      </c>
    </row>
    <row r="32" spans="1:7" x14ac:dyDescent="0.25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_xlfn.XLOOKUP(Table4[[#This Row],[Category]],Table2[Category],Table2[Type],"",0,1)</f>
        <v>Transfer</v>
      </c>
      <c r="F32" s="3">
        <v>45337</v>
      </c>
      <c r="G32" s="1">
        <f>MONTH(Table4[[#This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_xlfn.XLOOKUP(Table4[[#This Row],[Category]],Table2[Category],Table2[Type],"",0,1)</f>
        <v>Transfer</v>
      </c>
      <c r="F33" s="3">
        <v>45337</v>
      </c>
      <c r="G33" s="1">
        <f>MONTH(Table4[[#This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_xlfn.XLOOKUP(Table4[[#This Row],[Category]],Table2[Category],Table2[Type],"",0,1)</f>
        <v>Expense</v>
      </c>
      <c r="F34" s="3">
        <v>45339</v>
      </c>
      <c r="G34" s="1">
        <f>MONTH(Table4[[#This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_xlfn.XLOOKUP(Table4[[#This Row],[Category]],Table2[Category],Table2[Type],"",0,1)</f>
        <v>Expense</v>
      </c>
      <c r="F35" s="3">
        <v>45342</v>
      </c>
      <c r="G35" s="1">
        <f>MONTH(Table4[[#This Row],[Date]])</f>
        <v>2</v>
      </c>
    </row>
    <row r="36" spans="1:7" x14ac:dyDescent="0.25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_xlfn.XLOOKUP(Table4[[#This Row],[Category]],Table2[Category],Table2[Type],"",0,1)</f>
        <v>Income</v>
      </c>
      <c r="F36" s="3">
        <v>45344</v>
      </c>
      <c r="G36" s="1">
        <f>MONTH(Table4[[#This Row],[Date]])</f>
        <v>2</v>
      </c>
    </row>
    <row r="37" spans="1:7" x14ac:dyDescent="0.25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_xlfn.XLOOKUP(Table4[[#This Row],[Category]],Table2[Category],Table2[Type],"",0,1)</f>
        <v>Income</v>
      </c>
      <c r="F37" s="3">
        <v>45345</v>
      </c>
      <c r="G37" s="1">
        <f>MONTH(Table4[[#This Row],[Date]])</f>
        <v>2</v>
      </c>
    </row>
    <row r="38" spans="1:7" x14ac:dyDescent="0.25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_xlfn.XLOOKUP(Table4[[#This Row],[Category]],Table2[Category],Table2[Type],"",0,1)</f>
        <v>Expense</v>
      </c>
      <c r="F38" s="3">
        <v>45346</v>
      </c>
      <c r="G38" s="1">
        <f>MONTH(Table4[[#This Row],[Date]])</f>
        <v>2</v>
      </c>
    </row>
    <row r="39" spans="1:7" x14ac:dyDescent="0.25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_xlfn.XLOOKUP(Table4[[#This Row],[Category]],Table2[Category],Table2[Type],"",0,1)</f>
        <v>Income</v>
      </c>
      <c r="F39" s="3">
        <v>45347</v>
      </c>
      <c r="G39" s="1">
        <f>MONTH(Table4[[#This Row],[Date]])</f>
        <v>2</v>
      </c>
    </row>
    <row r="40" spans="1:7" x14ac:dyDescent="0.25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_xlfn.XLOOKUP(Table4[[#This Row],[Category]],Table2[Category],Table2[Type],"",0,1)</f>
        <v>Expense</v>
      </c>
      <c r="F40" s="3">
        <v>45347</v>
      </c>
      <c r="G40" s="1">
        <f>MONTH(Table4[[#This Row],[Date]])</f>
        <v>2</v>
      </c>
    </row>
    <row r="41" spans="1:7" x14ac:dyDescent="0.25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_xlfn.XLOOKUP(Table4[[#This Row],[Category]],Table2[Category],Table2[Type],"",0,1)</f>
        <v>Expense</v>
      </c>
      <c r="F41" s="3">
        <v>45348</v>
      </c>
      <c r="G41" s="1">
        <f>MONTH(Table4[[#This Row],[Date]])</f>
        <v>2</v>
      </c>
    </row>
    <row r="42" spans="1:7" x14ac:dyDescent="0.25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_xlfn.XLOOKUP(Table4[[#This Row],[Category]],Table2[Category],Table2[Type],"",0,1)</f>
        <v>Expense</v>
      </c>
      <c r="F42" s="3">
        <v>45348</v>
      </c>
      <c r="G42" s="1">
        <f>MONTH(Table4[[#This Row],[Date]])</f>
        <v>2</v>
      </c>
    </row>
    <row r="43" spans="1:7" x14ac:dyDescent="0.25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_xlfn.XLOOKUP(Table4[[#This Row],[Category]],Table2[Category],Table2[Type],"",0,1)</f>
        <v>Income</v>
      </c>
      <c r="F43" s="3">
        <v>45349</v>
      </c>
      <c r="G43" s="1">
        <f>MONTH(Table4[[#This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_xlfn.XLOOKUP(Table4[[#This Row],[Category]],Table2[Category],Table2[Type],"",0,1)</f>
        <v>Expense</v>
      </c>
      <c r="F44" s="3">
        <v>45350</v>
      </c>
      <c r="G44" s="1">
        <f>MONTH(Table4[[#This Row],[Date]])</f>
        <v>2</v>
      </c>
    </row>
    <row r="45" spans="1:7" x14ac:dyDescent="0.25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_xlfn.XLOOKUP(Table4[[#This Row],[Category]],Table2[Category],Table2[Type],"",0,1)</f>
        <v>Income</v>
      </c>
      <c r="F45" s="3">
        <v>45350</v>
      </c>
      <c r="G45" s="1">
        <f>MONTH(Table4[[#This Row],[Date]])</f>
        <v>2</v>
      </c>
    </row>
    <row r="46" spans="1:7" x14ac:dyDescent="0.25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_xlfn.XLOOKUP(Table4[[#This Row],[Category]],Table2[Category],Table2[Type],"",0,1)</f>
        <v>Expense</v>
      </c>
      <c r="F46" s="3">
        <v>45352</v>
      </c>
      <c r="G46" s="1">
        <f>MONTH(Table4[[#This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_xlfn.XLOOKUP(Table4[[#This Row],[Category]],Table2[Category],Table2[Type],"",0,1)</f>
        <v>Expense</v>
      </c>
      <c r="F47" s="3">
        <v>45353</v>
      </c>
      <c r="G47" s="1">
        <f>MONTH(Table4[[#This Row],[Date]])</f>
        <v>3</v>
      </c>
    </row>
    <row r="48" spans="1:7" x14ac:dyDescent="0.25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_xlfn.XLOOKUP(Table4[[#This Row],[Category]],Table2[Category],Table2[Type],"",0,1)</f>
        <v>Expense</v>
      </c>
      <c r="F48" s="3">
        <v>45353</v>
      </c>
      <c r="G48" s="1">
        <f>MONTH(Table4[[#This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_xlfn.XLOOKUP(Table4[[#This Row],[Category]],Table2[Category],Table2[Type],"",0,1)</f>
        <v>Expense</v>
      </c>
      <c r="F49" s="3">
        <v>45355</v>
      </c>
      <c r="G49" s="1">
        <f>MONTH(Table4[[#This Row],[Date]])</f>
        <v>3</v>
      </c>
    </row>
    <row r="50" spans="1:7" x14ac:dyDescent="0.25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_xlfn.XLOOKUP(Table4[[#This Row],[Category]],Table2[Category],Table2[Type],"",0,1)</f>
        <v>Income</v>
      </c>
      <c r="F50" s="3">
        <v>45357</v>
      </c>
      <c r="G50" s="1">
        <f>MONTH(Table4[[#This Row],[Date]])</f>
        <v>3</v>
      </c>
    </row>
    <row r="51" spans="1:7" x14ac:dyDescent="0.25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_xlfn.XLOOKUP(Table4[[#This Row],[Category]],Table2[Category],Table2[Type],"",0,1)</f>
        <v>Expense</v>
      </c>
      <c r="F51" s="3">
        <v>45359</v>
      </c>
      <c r="G51" s="1">
        <f>MONTH(Table4[[#This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_xlfn.XLOOKUP(Table4[[#This Row],[Category]],Table2[Category],Table2[Type],"",0,1)</f>
        <v>Income</v>
      </c>
      <c r="F52" s="3">
        <v>45361</v>
      </c>
      <c r="G52" s="1">
        <f>MONTH(Table4[[#This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_xlfn.XLOOKUP(Table4[[#This Row],[Category]],Table2[Category],Table2[Type],"",0,1)</f>
        <v>Expense</v>
      </c>
      <c r="F53" s="3">
        <v>45362</v>
      </c>
      <c r="G53" s="1">
        <f>MONTH(Table4[[#This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_xlfn.XLOOKUP(Table4[[#This Row],[Category]],Table2[Category],Table2[Type],"",0,1)</f>
        <v>Expense</v>
      </c>
      <c r="F54" s="3">
        <v>45363</v>
      </c>
      <c r="G54" s="1">
        <f>MONTH(Table4[[#This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_xlfn.XLOOKUP(Table4[[#This Row],[Category]],Table2[Category],Table2[Type],"",0,1)</f>
        <v>Expense</v>
      </c>
      <c r="F55" s="3">
        <v>45364</v>
      </c>
      <c r="G55" s="1">
        <f>MONTH(Table4[[#This Row],[Date]])</f>
        <v>3</v>
      </c>
    </row>
    <row r="56" spans="1:7" x14ac:dyDescent="0.25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_xlfn.XLOOKUP(Table4[[#This Row],[Category]],Table2[Category],Table2[Type],"",0,1)</f>
        <v>Expense</v>
      </c>
      <c r="F56" s="3">
        <v>45368</v>
      </c>
      <c r="G56" s="1">
        <f>MONTH(Table4[[#This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_xlfn.XLOOKUP(Table4[[#This Row],[Category]],Table2[Category],Table2[Type],"",0,1)</f>
        <v>Expense</v>
      </c>
      <c r="F57" s="3">
        <v>45371</v>
      </c>
      <c r="G57" s="1">
        <f>MONTH(Table4[[#This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_xlfn.XLOOKUP(Table4[[#This Row],[Category]],Table2[Category],Table2[Type],"",0,1)</f>
        <v>Expense</v>
      </c>
      <c r="F58" s="3">
        <v>45373</v>
      </c>
      <c r="G58" s="1">
        <f>MONTH(Table4[[#This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_xlfn.XLOOKUP(Table4[[#This Row],[Category]],Table2[Category],Table2[Type],"",0,1)</f>
        <v>Expense</v>
      </c>
      <c r="F59" s="3">
        <v>45375</v>
      </c>
      <c r="G59" s="1">
        <f>MONTH(Table4[[#This Row],[Date]])</f>
        <v>3</v>
      </c>
    </row>
    <row r="60" spans="1:7" x14ac:dyDescent="0.25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_xlfn.XLOOKUP(Table4[[#This Row],[Category]],Table2[Category],Table2[Type],"",0,1)</f>
        <v>Income</v>
      </c>
      <c r="F60" s="3">
        <v>45377</v>
      </c>
      <c r="G60" s="1">
        <f>MONTH(Table4[[#This Row],[Date]])</f>
        <v>3</v>
      </c>
    </row>
    <row r="61" spans="1:7" x14ac:dyDescent="0.25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_xlfn.XLOOKUP(Table4[[#This Row],[Category]],Table2[Category],Table2[Type],"",0,1)</f>
        <v>Expense</v>
      </c>
      <c r="F61" s="3">
        <v>45379</v>
      </c>
      <c r="G61" s="1">
        <f>MONTH(Table4[[#This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_xlfn.XLOOKUP(Table4[[#This Row],[Category]],Table2[Category],Table2[Type],"",0,1)</f>
        <v>Expense</v>
      </c>
      <c r="F62" s="3">
        <v>45381</v>
      </c>
      <c r="G62" s="1">
        <f>MONTH(Table4[[#This Row],[Date]])</f>
        <v>3</v>
      </c>
    </row>
    <row r="63" spans="1:7" x14ac:dyDescent="0.25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_xlfn.XLOOKUP(Table4[[#This Row],[Category]],Table2[Category],Table2[Type],"",0,1)</f>
        <v>Expense</v>
      </c>
      <c r="F63" s="3">
        <v>45383</v>
      </c>
      <c r="G63" s="1">
        <f>MONTH(Table4[[#This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_xlfn.XLOOKUP(Table4[[#This Row],[Category]],Table2[Category],Table2[Type],"",0,1)</f>
        <v>Expense</v>
      </c>
      <c r="F64" s="3">
        <v>45384</v>
      </c>
      <c r="G64" s="1">
        <f>MONTH(Table4[[#This Row],[Date]])</f>
        <v>4</v>
      </c>
    </row>
    <row r="65" spans="1:7" x14ac:dyDescent="0.25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_xlfn.XLOOKUP(Table4[[#This Row],[Category]],Table2[Category],Table2[Type],"",0,1)</f>
        <v>Income</v>
      </c>
      <c r="F65" s="3">
        <v>45388</v>
      </c>
      <c r="G65" s="1">
        <f>MONTH(Table4[[#This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_xlfn.XLOOKUP(Table4[[#This Row],[Category]],Table2[Category],Table2[Type],"",0,1)</f>
        <v>Expense</v>
      </c>
      <c r="F66" s="3">
        <v>45389</v>
      </c>
      <c r="G66" s="1">
        <f>MONTH(Table4[[#This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_xlfn.XLOOKUP(Table4[[#This Row],[Category]],Table2[Category],Table2[Type],"",0,1)</f>
        <v>Income</v>
      </c>
      <c r="F67" s="3">
        <v>45392</v>
      </c>
      <c r="G67" s="1">
        <f>MONTH(Table4[[#This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_xlfn.XLOOKUP(Table4[[#This Row],[Category]],Table2[Category],Table2[Type],"",0,1)</f>
        <v>Expense</v>
      </c>
      <c r="F68" s="3">
        <v>45393</v>
      </c>
      <c r="G68" s="1">
        <f>MONTH(Table4[[#This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_xlfn.XLOOKUP(Table4[[#This Row],[Category]],Table2[Category],Table2[Type],"",0,1)</f>
        <v>Expense</v>
      </c>
      <c r="F69" s="3">
        <v>45395</v>
      </c>
      <c r="G69" s="1">
        <f>MONTH(Table4[[#This Row],[Date]])</f>
        <v>4</v>
      </c>
    </row>
    <row r="70" spans="1:7" x14ac:dyDescent="0.25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_xlfn.XLOOKUP(Table4[[#This Row],[Category]],Table2[Category],Table2[Type],"",0,1)</f>
        <v>Transfer</v>
      </c>
      <c r="F70" s="3">
        <v>45397</v>
      </c>
      <c r="G70" s="1">
        <f>MONTH(Table4[[#This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_xlfn.XLOOKUP(Table4[[#This Row],[Category]],Table2[Category],Table2[Type],"",0,1)</f>
        <v>Transfer</v>
      </c>
      <c r="F71" s="3">
        <v>45397</v>
      </c>
      <c r="G71" s="1">
        <f>MONTH(Table4[[#This Row],[Date]])</f>
        <v>4</v>
      </c>
    </row>
    <row r="72" spans="1:7" x14ac:dyDescent="0.25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_xlfn.XLOOKUP(Table4[[#This Row],[Category]],Table2[Category],Table2[Type],"",0,1)</f>
        <v>Expense</v>
      </c>
      <c r="F72" s="3">
        <v>45397</v>
      </c>
      <c r="G72" s="1">
        <f>MONTH(Table4[[#This Row],[Date]])</f>
        <v>4</v>
      </c>
    </row>
    <row r="73" spans="1:7" x14ac:dyDescent="0.25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_xlfn.XLOOKUP(Table4[[#This Row],[Category]],Table2[Category],Table2[Type],"",0,1)</f>
        <v>Expense</v>
      </c>
      <c r="F73" s="3">
        <v>45398</v>
      </c>
      <c r="G73" s="1">
        <f>MONTH(Table4[[#This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_xlfn.XLOOKUP(Table4[[#This Row],[Category]],Table2[Category],Table2[Type],"",0,1)</f>
        <v>Expense</v>
      </c>
      <c r="F74" s="3">
        <v>45399</v>
      </c>
      <c r="G74" s="1">
        <f>MONTH(Table4[[#This Row],[Date]])</f>
        <v>4</v>
      </c>
    </row>
    <row r="75" spans="1:7" x14ac:dyDescent="0.25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_xlfn.XLOOKUP(Table4[[#This Row],[Category]],Table2[Category],Table2[Type],"",0,1)</f>
        <v>Expense</v>
      </c>
      <c r="F75" s="3">
        <v>45401</v>
      </c>
      <c r="G75" s="1">
        <f>MONTH(Table4[[#This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_xlfn.XLOOKUP(Table4[[#This Row],[Category]],Table2[Category],Table2[Type],"",0,1)</f>
        <v>Expense</v>
      </c>
      <c r="F76" s="3">
        <v>45403</v>
      </c>
      <c r="G76" s="1">
        <f>MONTH(Table4[[#This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_xlfn.XLOOKUP(Table4[[#This Row],[Category]],Table2[Category],Table2[Type],"",0,1)</f>
        <v>Expense</v>
      </c>
      <c r="F77" s="3">
        <v>45405</v>
      </c>
      <c r="G77" s="1">
        <f>MONTH(Table4[[#This Row],[Date]])</f>
        <v>4</v>
      </c>
    </row>
    <row r="78" spans="1:7" x14ac:dyDescent="0.25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_xlfn.XLOOKUP(Table4[[#This Row],[Category]],Table2[Category],Table2[Type],"",0,1)</f>
        <v>Income</v>
      </c>
      <c r="F78" s="3">
        <v>45407</v>
      </c>
      <c r="G78" s="1">
        <f>MONTH(Table4[[#This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_xlfn.XLOOKUP(Table4[[#This Row],[Category]],Table2[Category],Table2[Type],"",0,1)</f>
        <v>Expense</v>
      </c>
      <c r="F79" s="3">
        <v>45409</v>
      </c>
      <c r="G79" s="1">
        <f>MONTH(Table4[[#This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_xlfn.XLOOKUP(Table4[[#This Row],[Category]],Table2[Category],Table2[Type],"",0,1)</f>
        <v>Expense</v>
      </c>
      <c r="F80" s="3">
        <v>45410</v>
      </c>
      <c r="G80" s="1">
        <f>MONTH(Table4[[#This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_xlfn.XLOOKUP(Table4[[#This Row],[Category]],Table2[Category],Table2[Type],"",0,1)</f>
        <v>Expense</v>
      </c>
      <c r="F81" s="3">
        <v>45411</v>
      </c>
      <c r="G81" s="1">
        <f>MONTH(Table4[[#This Row],[Date]])</f>
        <v>4</v>
      </c>
    </row>
    <row r="82" spans="1:7" x14ac:dyDescent="0.25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_xlfn.XLOOKUP(Table4[[#This Row],[Category]],Table2[Category],Table2[Type],"",0,1)</f>
        <v>Expense</v>
      </c>
      <c r="F82" s="3">
        <v>45419</v>
      </c>
      <c r="G82" s="1">
        <f>MONTH(Table4[[#This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_xlfn.XLOOKUP(Table4[[#This Row],[Category]],Table2[Category],Table2[Type],"",0,1)</f>
        <v>Expense</v>
      </c>
      <c r="F83" s="3">
        <v>45422</v>
      </c>
      <c r="G83" s="1">
        <f>MONTH(Table4[[#This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_xlfn.XLOOKUP(Table4[[#This Row],[Category]],Table2[Category],Table2[Type],"",0,1)</f>
        <v>Income</v>
      </c>
      <c r="F84" s="3">
        <v>45422</v>
      </c>
      <c r="G84" s="1">
        <f>MONTH(Table4[[#This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_xlfn.XLOOKUP(Table4[[#This Row],[Category]],Table2[Category],Table2[Type],"",0,1)</f>
        <v>Expense</v>
      </c>
      <c r="F85" s="3">
        <v>45423</v>
      </c>
      <c r="G85" s="1">
        <f>MONTH(Table4[[#This Row],[Date]])</f>
        <v>5</v>
      </c>
    </row>
    <row r="86" spans="1:7" x14ac:dyDescent="0.25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_xlfn.XLOOKUP(Table4[[#This Row],[Category]],Table2[Category],Table2[Type],"",0,1)</f>
        <v>Expense</v>
      </c>
      <c r="F86" s="3">
        <v>45426</v>
      </c>
      <c r="G86" s="1">
        <f>MONTH(Table4[[#This Row],[Date]])</f>
        <v>5</v>
      </c>
    </row>
    <row r="87" spans="1:7" x14ac:dyDescent="0.25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_xlfn.XLOOKUP(Table4[[#This Row],[Category]],Table2[Category],Table2[Type],"",0,1)</f>
        <v>Transfer</v>
      </c>
      <c r="F87" s="3">
        <v>45427</v>
      </c>
      <c r="G87" s="1">
        <f>MONTH(Table4[[#This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_xlfn.XLOOKUP(Table4[[#This Row],[Category]],Table2[Category],Table2[Type],"",0,1)</f>
        <v>Transfer</v>
      </c>
      <c r="F88" s="3">
        <v>45427</v>
      </c>
      <c r="G88" s="1">
        <f>MONTH(Table4[[#This Row],[Date]])</f>
        <v>5</v>
      </c>
    </row>
    <row r="89" spans="1:7" x14ac:dyDescent="0.25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_xlfn.XLOOKUP(Table4[[#This Row],[Category]],Table2[Category],Table2[Type],"",0,1)</f>
        <v>Expense</v>
      </c>
      <c r="F89" s="3">
        <v>45433</v>
      </c>
      <c r="G89" s="1">
        <f>MONTH(Table4[[#This Row],[Date]])</f>
        <v>5</v>
      </c>
    </row>
    <row r="90" spans="1:7" x14ac:dyDescent="0.25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_xlfn.XLOOKUP(Table4[[#This Row],[Category]],Table2[Category],Table2[Type],"",0,1)</f>
        <v>Expense</v>
      </c>
      <c r="F90" s="3">
        <v>45440</v>
      </c>
      <c r="G90" s="1">
        <f>MONTH(Table4[[#This Row],[Date]])</f>
        <v>5</v>
      </c>
    </row>
    <row r="91" spans="1:7" x14ac:dyDescent="0.25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_xlfn.XLOOKUP(Table4[[#This Row],[Category]],Table2[Category],Table2[Type],"",0,1)</f>
        <v>Expense</v>
      </c>
      <c r="F91" s="3">
        <v>45441</v>
      </c>
      <c r="G91" s="1">
        <f>MONTH(Table4[[#This Row],[Date]])</f>
        <v>5</v>
      </c>
    </row>
    <row r="92" spans="1:7" x14ac:dyDescent="0.25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_xlfn.XLOOKUP(Table4[[#This Row],[Category]],Table2[Category],Table2[Type],"",0,1)</f>
        <v>Expense</v>
      </c>
      <c r="F92" s="3">
        <v>45442</v>
      </c>
      <c r="G92" s="1">
        <f>MONTH(Table4[[#This Row],[Date]])</f>
        <v>5</v>
      </c>
    </row>
    <row r="93" spans="1:7" x14ac:dyDescent="0.25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_xlfn.XLOOKUP(Table4[[#This Row],[Category]],Table2[Category],Table2[Type],"",0,1)</f>
        <v>Expense</v>
      </c>
      <c r="F93" s="3">
        <v>45450</v>
      </c>
      <c r="G93" s="1">
        <f>MONTH(Table4[[#This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_xlfn.XLOOKUP(Table4[[#This Row],[Category]],Table2[Category],Table2[Type],"",0,1)</f>
        <v>Expense</v>
      </c>
      <c r="F94" s="3">
        <v>45453</v>
      </c>
      <c r="G94" s="1">
        <f>MONTH(Table4[[#This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_xlfn.XLOOKUP(Table4[[#This Row],[Category]],Table2[Category],Table2[Type],"",0,1)</f>
        <v>Income</v>
      </c>
      <c r="F95" s="3">
        <v>45453</v>
      </c>
      <c r="G95" s="1">
        <f>MONTH(Table4[[#This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_xlfn.XLOOKUP(Table4[[#This Row],[Category]],Table2[Category],Table2[Type],"",0,1)</f>
        <v>Expense</v>
      </c>
      <c r="F96" s="3">
        <v>45454</v>
      </c>
      <c r="G96" s="1">
        <f>MONTH(Table4[[#This Row],[Date]])</f>
        <v>6</v>
      </c>
    </row>
    <row r="97" spans="1:7" x14ac:dyDescent="0.25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_xlfn.XLOOKUP(Table4[[#This Row],[Category]],Table2[Category],Table2[Type],"",0,1)</f>
        <v>Expense</v>
      </c>
      <c r="F97" s="3">
        <v>45457</v>
      </c>
      <c r="G97" s="1">
        <f>MONTH(Table4[[#This Row],[Date]])</f>
        <v>6</v>
      </c>
    </row>
    <row r="98" spans="1:7" x14ac:dyDescent="0.25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_xlfn.XLOOKUP(Table4[[#This Row],[Category]],Table2[Category],Table2[Type],"",0,1)</f>
        <v>Transfer</v>
      </c>
      <c r="F98" s="3">
        <v>45458</v>
      </c>
      <c r="G98" s="1">
        <f>MONTH(Table4[[#This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_xlfn.XLOOKUP(Table4[[#This Row],[Category]],Table2[Category],Table2[Type],"",0,1)</f>
        <v>Transfer</v>
      </c>
      <c r="F99" s="3">
        <v>45458</v>
      </c>
      <c r="G99" s="1">
        <f>MONTH(Table4[[#This Row],[Date]])</f>
        <v>6</v>
      </c>
    </row>
    <row r="100" spans="1:7" x14ac:dyDescent="0.25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_xlfn.XLOOKUP(Table4[[#This Row],[Category]],Table2[Category],Table2[Type],"",0,1)</f>
        <v>Expense</v>
      </c>
      <c r="F100" s="3">
        <v>45458</v>
      </c>
      <c r="G100" s="1">
        <f>MONTH(Table4[[#This Row],[Date]])</f>
        <v>6</v>
      </c>
    </row>
    <row r="101" spans="1:7" x14ac:dyDescent="0.25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_xlfn.XLOOKUP(Table4[[#This Row],[Category]],Table2[Category],Table2[Type],"",0,1)</f>
        <v>Expense</v>
      </c>
      <c r="F101" s="3">
        <v>45464</v>
      </c>
      <c r="G101" s="1">
        <f>MONTH(Table4[[#This Row],[Date]])</f>
        <v>6</v>
      </c>
    </row>
    <row r="102" spans="1:7" x14ac:dyDescent="0.25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_xlfn.XLOOKUP(Table4[[#This Row],[Category]],Table2[Category],Table2[Type],"",0,1)</f>
        <v>Expense</v>
      </c>
      <c r="F102" s="3">
        <v>45471</v>
      </c>
      <c r="G102" s="1">
        <f>MONTH(Table4[[#This Row],[Date]])</f>
        <v>6</v>
      </c>
    </row>
    <row r="103" spans="1:7" x14ac:dyDescent="0.25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_xlfn.XLOOKUP(Table4[[#This Row],[Category]],Table2[Category],Table2[Type],"",0,1)</f>
        <v>Expense</v>
      </c>
      <c r="F103" s="3">
        <v>45471</v>
      </c>
      <c r="G103" s="1">
        <f>MONTH(Table4[[#This Row],[Date]])</f>
        <v>6</v>
      </c>
    </row>
    <row r="104" spans="1:7" x14ac:dyDescent="0.25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_xlfn.XLOOKUP(Table4[[#This Row],[Category]],Table2[Category],Table2[Type],"",0,1)</f>
        <v>Expense</v>
      </c>
      <c r="F104" s="3">
        <v>45472</v>
      </c>
      <c r="G104" s="1">
        <f>MONTH(Table4[[#This Row],[Date]])</f>
        <v>6</v>
      </c>
    </row>
    <row r="105" spans="1:7" x14ac:dyDescent="0.25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_xlfn.XLOOKUP(Table4[[#This Row],[Category]],Table2[Category],Table2[Type],"",0,1)</f>
        <v>Income</v>
      </c>
      <c r="F105" s="3">
        <v>45472</v>
      </c>
      <c r="G105" s="1">
        <f>MONTH(Table4[[#This Row],[Date]])</f>
        <v>6</v>
      </c>
    </row>
    <row r="106" spans="1:7" x14ac:dyDescent="0.25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_xlfn.XLOOKUP(Table4[[#This Row],[Category]],Table2[Category],Table2[Type],"",0,1)</f>
        <v>Expense</v>
      </c>
      <c r="F106" s="3">
        <v>45473</v>
      </c>
      <c r="G106" s="1">
        <f>MONTH(Table4[[#This Row],[Date]])</f>
        <v>6</v>
      </c>
    </row>
    <row r="107" spans="1:7" x14ac:dyDescent="0.25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_xlfn.XLOOKUP(Table4[[#This Row],[Category]],Table2[Category],Table2[Type],"",0,1)</f>
        <v>Expense</v>
      </c>
      <c r="F107" s="3">
        <v>45476</v>
      </c>
      <c r="G107" s="1">
        <f>MONTH(Table4[[#This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_xlfn.XLOOKUP(Table4[[#This Row],[Category]],Table2[Category],Table2[Type],"",0,1)</f>
        <v>Expense</v>
      </c>
      <c r="F108" s="3">
        <v>45480</v>
      </c>
      <c r="G108" s="1">
        <f>MONTH(Table4[[#This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_xlfn.XLOOKUP(Table4[[#This Row],[Category]],Table2[Category],Table2[Type],"",0,1)</f>
        <v>Income</v>
      </c>
      <c r="F109" s="3">
        <v>45483</v>
      </c>
      <c r="G109" s="1">
        <f>MONTH(Table4[[#This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_xlfn.XLOOKUP(Table4[[#This Row],[Category]],Table2[Category],Table2[Type],"",0,1)</f>
        <v>Expense</v>
      </c>
      <c r="F110" s="3">
        <v>45484</v>
      </c>
      <c r="G110" s="1">
        <f>MONTH(Table4[[#This Row],[Date]])</f>
        <v>7</v>
      </c>
    </row>
    <row r="111" spans="1:7" x14ac:dyDescent="0.25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_xlfn.XLOOKUP(Table4[[#This Row],[Category]],Table2[Category],Table2[Type],"",0,1)</f>
        <v>Expense</v>
      </c>
      <c r="F111" s="3">
        <v>45487</v>
      </c>
      <c r="G111" s="1">
        <f>MONTH(Table4[[#This Row],[Date]])</f>
        <v>7</v>
      </c>
    </row>
    <row r="112" spans="1:7" x14ac:dyDescent="0.25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_xlfn.XLOOKUP(Table4[[#This Row],[Category]],Table2[Category],Table2[Type],"",0,1)</f>
        <v>Transfer</v>
      </c>
      <c r="F112" s="3">
        <v>45488</v>
      </c>
      <c r="G112" s="1">
        <f>MONTH(Table4[[#This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_xlfn.XLOOKUP(Table4[[#This Row],[Category]],Table2[Category],Table2[Type],"",0,1)</f>
        <v>Transfer</v>
      </c>
      <c r="F113" s="3">
        <v>45488</v>
      </c>
      <c r="G113" s="1">
        <f>MONTH(Table4[[#This Row],[Date]])</f>
        <v>7</v>
      </c>
    </row>
    <row r="114" spans="1:7" x14ac:dyDescent="0.25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_xlfn.XLOOKUP(Table4[[#This Row],[Category]],Table2[Category],Table2[Type],"",0,1)</f>
        <v>Expense</v>
      </c>
      <c r="F114" s="3">
        <v>45489</v>
      </c>
      <c r="G114" s="1">
        <f>MONTH(Table4[[#This Row],[Date]])</f>
        <v>7</v>
      </c>
    </row>
    <row r="115" spans="1:7" x14ac:dyDescent="0.25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_xlfn.XLOOKUP(Table4[[#This Row],[Category]],Table2[Category],Table2[Type],"",0,1)</f>
        <v>Income</v>
      </c>
      <c r="F115" s="3">
        <v>45491</v>
      </c>
      <c r="G115" s="1">
        <f>MONTH(Table4[[#This Row],[Date]])</f>
        <v>7</v>
      </c>
    </row>
    <row r="116" spans="1:7" x14ac:dyDescent="0.25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_xlfn.XLOOKUP(Table4[[#This Row],[Category]],Table2[Category],Table2[Type],"",0,1)</f>
        <v>Expense</v>
      </c>
      <c r="F116" s="3">
        <v>45494</v>
      </c>
      <c r="G116" s="1">
        <f>MONTH(Table4[[#This Row],[Date]])</f>
        <v>7</v>
      </c>
    </row>
    <row r="117" spans="1:7" x14ac:dyDescent="0.25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_xlfn.XLOOKUP(Table4[[#This Row],[Category]],Table2[Category],Table2[Type],"",0,1)</f>
        <v>Income</v>
      </c>
      <c r="F117" s="3">
        <v>45495</v>
      </c>
      <c r="G117" s="1">
        <f>MONTH(Table4[[#This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_xlfn.XLOOKUP(Table4[[#This Row],[Category]],Table2[Category],Table2[Type],"",0,1)</f>
        <v>Expense</v>
      </c>
      <c r="F118" s="3">
        <v>45497</v>
      </c>
      <c r="G118" s="1">
        <f>MONTH(Table4[[#This Row],[Date]])</f>
        <v>7</v>
      </c>
    </row>
    <row r="119" spans="1:7" x14ac:dyDescent="0.25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_xlfn.XLOOKUP(Table4[[#This Row],[Category]],Table2[Category],Table2[Type],"",0,1)</f>
        <v>Expense</v>
      </c>
      <c r="F119" s="3">
        <v>45499</v>
      </c>
      <c r="G119" s="1">
        <f>MONTH(Table4[[#This Row],[Date]])</f>
        <v>7</v>
      </c>
    </row>
    <row r="120" spans="1:7" x14ac:dyDescent="0.25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_xlfn.XLOOKUP(Table4[[#This Row],[Category]],Table2[Category],Table2[Type],"",0,1)</f>
        <v>Expense</v>
      </c>
      <c r="F120" s="3">
        <v>45502</v>
      </c>
      <c r="G120" s="1">
        <f>MONTH(Table4[[#This Row],[Date]])</f>
        <v>7</v>
      </c>
    </row>
    <row r="121" spans="1:7" x14ac:dyDescent="0.25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_xlfn.XLOOKUP(Table4[[#This Row],[Category]],Table2[Category],Table2[Type],"",0,1)</f>
        <v>Income</v>
      </c>
      <c r="F121" s="3">
        <v>45503</v>
      </c>
      <c r="G121" s="1">
        <f>MONTH(Table4[[#This Row],[Date]])</f>
        <v>7</v>
      </c>
    </row>
    <row r="122" spans="1:7" x14ac:dyDescent="0.25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_xlfn.XLOOKUP(Table4[[#This Row],[Category]],Table2[Category],Table2[Type],"",0,1)</f>
        <v>Expense</v>
      </c>
      <c r="F122" s="3">
        <v>45504</v>
      </c>
      <c r="G122" s="1">
        <f>MONTH(Table4[[#This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_xlfn.XLOOKUP(Table4[[#This Row],[Category]],Table2[Category],Table2[Type],"",0,1)</f>
        <v>Expense</v>
      </c>
      <c r="F123" s="3">
        <v>45505</v>
      </c>
      <c r="G123" s="1">
        <f>MONTH(Table4[[#This Row],[Date]])</f>
        <v>8</v>
      </c>
    </row>
    <row r="124" spans="1:7" x14ac:dyDescent="0.25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_xlfn.XLOOKUP(Table4[[#This Row],[Category]],Table2[Category],Table2[Type],"",0,1)</f>
        <v>Transfer</v>
      </c>
      <c r="F124" s="3">
        <v>45505</v>
      </c>
      <c r="G124" s="1">
        <f>MONTH(Table4[[#This Row],[Date]])</f>
        <v>8</v>
      </c>
    </row>
    <row r="125" spans="1:7" x14ac:dyDescent="0.25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_xlfn.XLOOKUP(Table4[[#This Row],[Category]],Table2[Category],Table2[Type],"",0,1)</f>
        <v>Expense</v>
      </c>
      <c r="F125" s="3">
        <v>45505</v>
      </c>
      <c r="G125" s="1">
        <f>MONTH(Table4[[#This Row],[Date]])</f>
        <v>8</v>
      </c>
    </row>
    <row r="126" spans="1:7" x14ac:dyDescent="0.25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_xlfn.XLOOKUP(Table4[[#This Row],[Category]],Table2[Category],Table2[Type],"",0,1)</f>
        <v>Expense</v>
      </c>
      <c r="F126" s="3">
        <v>45513</v>
      </c>
      <c r="G126" s="1">
        <f>MONTH(Table4[[#This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_xlfn.XLOOKUP(Table4[[#This Row],[Category]],Table2[Category],Table2[Type],"",0,1)</f>
        <v>Income</v>
      </c>
      <c r="F127" s="3">
        <v>45514</v>
      </c>
      <c r="G127" s="1">
        <f>MONTH(Table4[[#This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_xlfn.XLOOKUP(Table4[[#This Row],[Category]],Table2[Category],Table2[Type],"",0,1)</f>
        <v>Expense</v>
      </c>
      <c r="F128" s="3">
        <v>45515</v>
      </c>
      <c r="G128" s="1">
        <f>MONTH(Table4[[#This Row],[Date]])</f>
        <v>8</v>
      </c>
    </row>
    <row r="129" spans="1:7" x14ac:dyDescent="0.25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_xlfn.XLOOKUP(Table4[[#This Row],[Category]],Table2[Category],Table2[Type],"",0,1)</f>
        <v>Expense</v>
      </c>
      <c r="F129" s="3">
        <v>45518</v>
      </c>
      <c r="G129" s="1">
        <f>MONTH(Table4[[#This Row],[Date]])</f>
        <v>8</v>
      </c>
    </row>
    <row r="130" spans="1:7" x14ac:dyDescent="0.25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_xlfn.XLOOKUP(Table4[[#This Row],[Category]],Table2[Category],Table2[Type],"",0,1)</f>
        <v>Transfer</v>
      </c>
      <c r="F130" s="3">
        <v>45519</v>
      </c>
      <c r="G130" s="1">
        <f>MONTH(Table4[[#This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_xlfn.XLOOKUP(Table4[[#This Row],[Category]],Table2[Category],Table2[Type],"",0,1)</f>
        <v>Transfer</v>
      </c>
      <c r="F131" s="3">
        <v>45519</v>
      </c>
      <c r="G131" s="1">
        <f>MONTH(Table4[[#This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_xlfn.XLOOKUP(Table4[[#This Row],[Category]],Table2[Category],Table2[Type],"",0,1)</f>
        <v>Expense</v>
      </c>
      <c r="F132" s="3">
        <v>45520</v>
      </c>
      <c r="G132" s="1">
        <f>MONTH(Table4[[#This Row],[Date]])</f>
        <v>8</v>
      </c>
    </row>
    <row r="133" spans="1:7" x14ac:dyDescent="0.25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_xlfn.XLOOKUP(Table4[[#This Row],[Category]],Table2[Category],Table2[Type],"",0,1)</f>
        <v>Expense</v>
      </c>
      <c r="F133" s="3">
        <v>45522</v>
      </c>
      <c r="G133" s="1">
        <f>MONTH(Table4[[#This Row],[Date]])</f>
        <v>8</v>
      </c>
    </row>
    <row r="134" spans="1:7" x14ac:dyDescent="0.25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_xlfn.XLOOKUP(Table4[[#This Row],[Category]],Table2[Category],Table2[Type],"",0,1)</f>
        <v>Income</v>
      </c>
      <c r="F134" s="3">
        <v>45524</v>
      </c>
      <c r="G134" s="1">
        <f>MONTH(Table4[[#This Row],[Date]])</f>
        <v>8</v>
      </c>
    </row>
    <row r="135" spans="1:7" x14ac:dyDescent="0.25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_xlfn.XLOOKUP(Table4[[#This Row],[Category]],Table2[Category],Table2[Type],"",0,1)</f>
        <v>Expense</v>
      </c>
      <c r="F135" s="3">
        <v>45526</v>
      </c>
      <c r="G135" s="1">
        <f>MONTH(Table4[[#This Row],[Date]])</f>
        <v>8</v>
      </c>
    </row>
    <row r="136" spans="1:7" x14ac:dyDescent="0.25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_xlfn.XLOOKUP(Table4[[#This Row],[Category]],Table2[Category],Table2[Type],"",0,1)</f>
        <v>Expense</v>
      </c>
      <c r="F136" s="3">
        <v>45527</v>
      </c>
      <c r="G136" s="1">
        <f>MONTH(Table4[[#This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_xlfn.XLOOKUP(Table4[[#This Row],[Category]],Table2[Category],Table2[Type],"",0,1)</f>
        <v>Expense</v>
      </c>
      <c r="F137" s="3">
        <v>45528</v>
      </c>
      <c r="G137" s="1">
        <f>MONTH(Table4[[#This Row],[Date]])</f>
        <v>8</v>
      </c>
    </row>
    <row r="138" spans="1:7" x14ac:dyDescent="0.25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_xlfn.XLOOKUP(Table4[[#This Row],[Category]],Table2[Category],Table2[Type],"",0,1)</f>
        <v>Expense</v>
      </c>
      <c r="F138" s="3">
        <v>45531</v>
      </c>
      <c r="G138" s="1">
        <f>MONTH(Table4[[#This Row],[Date]])</f>
        <v>8</v>
      </c>
    </row>
    <row r="139" spans="1:7" x14ac:dyDescent="0.25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_xlfn.XLOOKUP(Table4[[#This Row],[Category]],Table2[Category],Table2[Type],"",0,1)</f>
        <v>Income</v>
      </c>
      <c r="F139" s="3">
        <v>45534</v>
      </c>
      <c r="G139" s="1">
        <f>MONTH(Table4[[#This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_xlfn.XLOOKUP(Table4[[#This Row],[Category]],Table2[Category],Table2[Type],"",0,1)</f>
        <v>Income</v>
      </c>
      <c r="F140" s="3">
        <v>45535</v>
      </c>
      <c r="G140" s="1">
        <f>MONTH(Table4[[#This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_xlfn.XLOOKUP(Table4[[#This Row],[Category]],Table2[Category],Table2[Type],"",0,1)</f>
        <v>Expense</v>
      </c>
      <c r="F141" s="3">
        <v>45536</v>
      </c>
      <c r="G141" s="1">
        <f>MONTH(Table4[[#This Row],[Date]])</f>
        <v>9</v>
      </c>
    </row>
    <row r="142" spans="1:7" x14ac:dyDescent="0.25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_xlfn.XLOOKUP(Table4[[#This Row],[Category]],Table2[Category],Table2[Type],"",0,1)</f>
        <v>Expense</v>
      </c>
      <c r="F142" s="3">
        <v>45539</v>
      </c>
      <c r="G142" s="1">
        <f>MONTH(Table4[[#This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_xlfn.XLOOKUP(Table4[[#This Row],[Category]],Table2[Category],Table2[Type],"",0,1)</f>
        <v>Expense</v>
      </c>
      <c r="F143" s="3">
        <v>45542</v>
      </c>
      <c r="G143" s="1">
        <f>MONTH(Table4[[#This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_xlfn.XLOOKUP(Table4[[#This Row],[Category]],Table2[Category],Table2[Type],"",0,1)</f>
        <v>Expense</v>
      </c>
      <c r="F144" s="3">
        <v>45543</v>
      </c>
      <c r="G144" s="1">
        <f>MONTH(Table4[[#This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_xlfn.XLOOKUP(Table4[[#This Row],[Category]],Table2[Category],Table2[Type],"",0,1)</f>
        <v>Income</v>
      </c>
      <c r="F145" s="3">
        <v>45545</v>
      </c>
      <c r="G145" s="1">
        <f>MONTH(Table4[[#This Row],[Date]])</f>
        <v>9</v>
      </c>
    </row>
    <row r="146" spans="1:7" x14ac:dyDescent="0.25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_xlfn.XLOOKUP(Table4[[#This Row],[Category]],Table2[Category],Table2[Type],"",0,1)</f>
        <v>Expense</v>
      </c>
      <c r="F146" s="3">
        <v>45546</v>
      </c>
      <c r="G146" s="1">
        <f>MONTH(Table4[[#This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_xlfn.XLOOKUP(Table4[[#This Row],[Category]],Table2[Category],Table2[Type],"",0,1)</f>
        <v>Expense</v>
      </c>
      <c r="F147" s="3">
        <v>45546</v>
      </c>
      <c r="G147" s="1">
        <f>MONTH(Table4[[#This Row],[Date]])</f>
        <v>9</v>
      </c>
    </row>
    <row r="148" spans="1:7" x14ac:dyDescent="0.25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_xlfn.XLOOKUP(Table4[[#This Row],[Category]],Table2[Category],Table2[Type],"",0,1)</f>
        <v>Transfer</v>
      </c>
      <c r="F148" s="3">
        <v>45550</v>
      </c>
      <c r="G148" s="1">
        <f>MONTH(Table4[[#This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_xlfn.XLOOKUP(Table4[[#This Row],[Category]],Table2[Category],Table2[Type],"",0,1)</f>
        <v>Transfer</v>
      </c>
      <c r="F149" s="3">
        <v>45550</v>
      </c>
      <c r="G149" s="1">
        <f>MONTH(Table4[[#This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_xlfn.XLOOKUP(Table4[[#This Row],[Category]],Table2[Category],Table2[Type],"",0,1)</f>
        <v>Expense</v>
      </c>
      <c r="F150" s="3">
        <v>45553</v>
      </c>
      <c r="G150" s="1">
        <f>MONTH(Table4[[#This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_xlfn.XLOOKUP(Table4[[#This Row],[Category]],Table2[Category],Table2[Type],"",0,1)</f>
        <v>Expense</v>
      </c>
      <c r="F151" s="3">
        <v>45566</v>
      </c>
      <c r="G151" s="1">
        <f>MONTH(Table4[[#This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_xlfn.XLOOKUP(Table4[[#This Row],[Category]],Table2[Category],Table2[Type],"",0,1)</f>
        <v>Expense</v>
      </c>
      <c r="F152" s="3">
        <v>45572</v>
      </c>
      <c r="G152" s="1">
        <f>MONTH(Table4[[#This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_xlfn.XLOOKUP(Table4[[#This Row],[Category]],Table2[Category],Table2[Type],"",0,1)</f>
        <v>Expense</v>
      </c>
      <c r="F153" s="3">
        <v>45573</v>
      </c>
      <c r="G153" s="1">
        <f>MONTH(Table4[[#This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_xlfn.XLOOKUP(Table4[[#This Row],[Category]],Table2[Category],Table2[Type],"",0,1)</f>
        <v>Income</v>
      </c>
      <c r="F154" s="3">
        <v>45575</v>
      </c>
      <c r="G154" s="1">
        <f>MONTH(Table4[[#This Row],[Date]])</f>
        <v>10</v>
      </c>
    </row>
    <row r="155" spans="1:7" x14ac:dyDescent="0.25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_xlfn.XLOOKUP(Table4[[#This Row],[Category]],Table2[Category],Table2[Type],"",0,1)</f>
        <v>Expense</v>
      </c>
      <c r="F155" s="3">
        <v>45576</v>
      </c>
      <c r="G155" s="1">
        <f>MONTH(Table4[[#This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_xlfn.XLOOKUP(Table4[[#This Row],[Category]],Table2[Category],Table2[Type],"",0,1)</f>
        <v>Expense</v>
      </c>
      <c r="F156" s="3">
        <v>45576</v>
      </c>
      <c r="G156" s="1">
        <f>MONTH(Table4[[#This Row],[Date]])</f>
        <v>10</v>
      </c>
    </row>
    <row r="157" spans="1:7" x14ac:dyDescent="0.25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_xlfn.XLOOKUP(Table4[[#This Row],[Category]],Table2[Category],Table2[Type],"",0,1)</f>
        <v>Transfer</v>
      </c>
      <c r="F157" s="3">
        <v>45580</v>
      </c>
      <c r="G157" s="1">
        <f>MONTH(Table4[[#This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_xlfn.XLOOKUP(Table4[[#This Row],[Category]],Table2[Category],Table2[Type],"",0,1)</f>
        <v>Transfer</v>
      </c>
      <c r="F158" s="3">
        <v>45580</v>
      </c>
      <c r="G158" s="1">
        <f>MONTH(Table4[[#This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_xlfn.XLOOKUP(Table4[[#This Row],[Category]],Table2[Category],Table2[Type],"",0,1)</f>
        <v>Income</v>
      </c>
      <c r="F159" s="3">
        <v>45606</v>
      </c>
      <c r="G159" s="1">
        <f>MONTH(Table4[[#This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_xlfn.XLOOKUP(Table4[[#This Row],[Category]],Table2[Category],Table2[Type],"",0,1)</f>
        <v>Expense</v>
      </c>
      <c r="F160" s="3">
        <v>45607</v>
      </c>
      <c r="G160" s="1">
        <f>MONTH(Table4[[#This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_xlfn.XLOOKUP(Table4[[#This Row],[Category]],Table2[Category],Table2[Type],"",0,1)</f>
        <v>Expense</v>
      </c>
      <c r="F161" s="3">
        <v>45607</v>
      </c>
      <c r="G161" s="1">
        <f>MONTH(Table4[[#This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_xlfn.XLOOKUP(Table4[[#This Row],[Category]],Table2[Category],Table2[Type],"",0,1)</f>
        <v>Expense</v>
      </c>
      <c r="F162" s="3">
        <v>45607</v>
      </c>
      <c r="G162" s="1">
        <f>MONTH(Table4[[#This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_xlfn.XLOOKUP(Table4[[#This Row],[Category]],Table2[Category],Table2[Type],"",0,1)</f>
        <v>Expense</v>
      </c>
      <c r="F163" s="3">
        <v>45608</v>
      </c>
      <c r="G163" s="1">
        <f>MONTH(Table4[[#This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_xlfn.XLOOKUP(Table4[[#This Row],[Category]],Table2[Category],Table2[Type],"",0,1)</f>
        <v>Expense</v>
      </c>
      <c r="F164" s="3">
        <v>45610</v>
      </c>
      <c r="G164" s="1">
        <f>MONTH(Table4[[#This Row],[Date]])</f>
        <v>11</v>
      </c>
    </row>
    <row r="165" spans="1:7" x14ac:dyDescent="0.25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_xlfn.XLOOKUP(Table4[[#This Row],[Category]],Table2[Category],Table2[Type],"",0,1)</f>
        <v>Transfer</v>
      </c>
      <c r="F165" s="3">
        <v>45611</v>
      </c>
      <c r="G165" s="1">
        <f>MONTH(Table4[[#This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_xlfn.XLOOKUP(Table4[[#This Row],[Category]],Table2[Category],Table2[Type],"",0,1)</f>
        <v>Transfer</v>
      </c>
      <c r="F166" s="3">
        <v>45611</v>
      </c>
      <c r="G166" s="1">
        <f>MONTH(Table4[[#This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_xlfn.XLOOKUP(Table4[[#This Row],[Category]],Table2[Category],Table2[Type],"",0,1)</f>
        <v>Expense</v>
      </c>
      <c r="F167" s="3">
        <v>45612</v>
      </c>
      <c r="G167" s="1">
        <f>MONTH(Table4[[#This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_xlfn.XLOOKUP(Table4[[#This Row],[Category]],Table2[Category],Table2[Type],"",0,1)</f>
        <v>Expense</v>
      </c>
      <c r="F168" s="3">
        <v>45613</v>
      </c>
      <c r="G168" s="1">
        <f>MONTH(Table4[[#This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_xlfn.XLOOKUP(Table4[[#This Row],[Category]],Table2[Category],Table2[Type],"",0,1)</f>
        <v>Expense</v>
      </c>
      <c r="F169" s="3">
        <v>45613</v>
      </c>
      <c r="G169" s="1">
        <f>MONTH(Table4[[#This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_xlfn.XLOOKUP(Table4[[#This Row],[Category]],Table2[Category],Table2[Type],"",0,1)</f>
        <v>Expense</v>
      </c>
      <c r="F170" s="3">
        <v>45615</v>
      </c>
      <c r="G170" s="1">
        <f>MONTH(Table4[[#This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_xlfn.XLOOKUP(Table4[[#This Row],[Category]],Table2[Category],Table2[Type],"",0,1)</f>
        <v>Expense</v>
      </c>
      <c r="F171" s="3">
        <v>45616</v>
      </c>
      <c r="G171" s="1">
        <f>MONTH(Table4[[#This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_xlfn.XLOOKUP(Table4[[#This Row],[Category]],Table2[Category],Table2[Type],"",0,1)</f>
        <v>Expense</v>
      </c>
      <c r="F172" s="3">
        <v>45617</v>
      </c>
      <c r="G172" s="1">
        <f>MONTH(Table4[[#This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_xlfn.XLOOKUP(Table4[[#This Row],[Category]],Table2[Category],Table2[Type],"",0,1)</f>
        <v>Expense</v>
      </c>
      <c r="F173" s="3">
        <v>45618</v>
      </c>
      <c r="G173" s="1">
        <f>MONTH(Table4[[#This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_xlfn.XLOOKUP(Table4[[#This Row],[Category]],Table2[Category],Table2[Type],"",0,1)</f>
        <v>Expense</v>
      </c>
      <c r="F174" s="3">
        <v>45618</v>
      </c>
      <c r="G174" s="1">
        <f>MONTH(Table4[[#This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_xlfn.XLOOKUP(Table4[[#This Row],[Category]],Table2[Category],Table2[Type],"",0,1)</f>
        <v>Expense</v>
      </c>
      <c r="F175" s="3">
        <v>45618</v>
      </c>
      <c r="G175" s="1">
        <f>MONTH(Table4[[#This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_xlfn.XLOOKUP(Table4[[#This Row],[Category]],Table2[Category],Table2[Type],"",0,1)</f>
        <v>Expense</v>
      </c>
      <c r="F176" s="3">
        <v>45619</v>
      </c>
      <c r="G176" s="1">
        <f>MONTH(Table4[[#This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_xlfn.XLOOKUP(Table4[[#This Row],[Category]],Table2[Category],Table2[Type],"",0,1)</f>
        <v>Expense</v>
      </c>
      <c r="F177" s="3">
        <v>45619</v>
      </c>
      <c r="G177" s="1">
        <f>MONTH(Table4[[#This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_xlfn.XLOOKUP(Table4[[#This Row],[Category]],Table2[Category],Table2[Type],"",0,1)</f>
        <v>Expense</v>
      </c>
      <c r="F178" s="3">
        <v>45621</v>
      </c>
      <c r="G178" s="1">
        <f>MONTH(Table4[[#This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_xlfn.XLOOKUP(Table4[[#This Row],[Category]],Table2[Category],Table2[Type],"",0,1)</f>
        <v>Expense</v>
      </c>
      <c r="F179" s="3">
        <v>45622</v>
      </c>
      <c r="G179" s="1">
        <f>MONTH(Table4[[#This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_xlfn.XLOOKUP(Table4[[#This Row],[Category]],Table2[Category],Table2[Type],"",0,1)</f>
        <v>Expense</v>
      </c>
      <c r="F180" s="3">
        <v>45623</v>
      </c>
      <c r="G180" s="1">
        <f>MONTH(Table4[[#This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_xlfn.XLOOKUP(Table4[[#This Row],[Category]],Table2[Category],Table2[Type],"",0,1)</f>
        <v>Expense</v>
      </c>
      <c r="F181" s="3">
        <v>45623</v>
      </c>
      <c r="G181" s="1">
        <f>MONTH(Table4[[#This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_xlfn.XLOOKUP(Table4[[#This Row],[Category]],Table2[Category],Table2[Type],"",0,1)</f>
        <v>Expense</v>
      </c>
      <c r="F182" s="3">
        <v>45623</v>
      </c>
      <c r="G182" s="1">
        <f>MONTH(Table4[[#This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_xlfn.XLOOKUP(Table4[[#This Row],[Category]],Table2[Category],Table2[Type],"",0,1)</f>
        <v>Expense</v>
      </c>
      <c r="F183" s="3">
        <v>45624</v>
      </c>
      <c r="G183" s="1">
        <f>MONTH(Table4[[#This Row],[Date]])</f>
        <v>11</v>
      </c>
    </row>
    <row r="184" spans="1:7" x14ac:dyDescent="0.25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_xlfn.XLOOKUP(Table4[[#This Row],[Category]],Table2[Category],Table2[Type],"",0,1)</f>
        <v>Income</v>
      </c>
      <c r="F184" s="3">
        <v>45625</v>
      </c>
      <c r="G184" s="1">
        <f>MONTH(Table4[[#This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_xlfn.XLOOKUP(Table4[[#This Row],[Category]],Table2[Category],Table2[Type],"",0,1)</f>
        <v>Expense</v>
      </c>
      <c r="F185" s="3">
        <v>45626</v>
      </c>
      <c r="G185" s="1">
        <f>MONTH(Table4[[#This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_xlfn.XLOOKUP(Table4[[#This Row],[Category]],Table2[Category],Table2[Type],"",0,1)</f>
        <v>Expense</v>
      </c>
      <c r="F186" s="3">
        <v>45627</v>
      </c>
      <c r="G186" s="1">
        <f>MONTH(Table4[[#This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_xlfn.XLOOKUP(Table4[[#This Row],[Category]],Table2[Category],Table2[Type],"",0,1)</f>
        <v>Expense</v>
      </c>
      <c r="F187" s="3">
        <v>45627</v>
      </c>
      <c r="G187" s="1">
        <f>MONTH(Table4[[#This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_xlfn.XLOOKUP(Table4[[#This Row],[Category]],Table2[Category],Table2[Type],"",0,1)</f>
        <v>Expense</v>
      </c>
      <c r="F188" s="3">
        <v>45628</v>
      </c>
      <c r="G188" s="1">
        <f>MONTH(Table4[[#This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_xlfn.XLOOKUP(Table4[[#This Row],[Category]],Table2[Category],Table2[Type],"",0,1)</f>
        <v>Expense</v>
      </c>
      <c r="F189" s="3">
        <v>45628</v>
      </c>
      <c r="G189" s="1">
        <f>MONTH(Table4[[#This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_xlfn.XLOOKUP(Table4[[#This Row],[Category]],Table2[Category],Table2[Type],"",0,1)</f>
        <v>Expense</v>
      </c>
      <c r="F190" s="3">
        <v>45628</v>
      </c>
      <c r="G190" s="1">
        <f>MONTH(Table4[[#This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_xlfn.XLOOKUP(Table4[[#This Row],[Category]],Table2[Category],Table2[Type],"",0,1)</f>
        <v>Expense</v>
      </c>
      <c r="F191" s="3">
        <v>45628</v>
      </c>
      <c r="G191" s="1">
        <f>MONTH(Table4[[#This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_xlfn.XLOOKUP(Table4[[#This Row],[Category]],Table2[Category],Table2[Type],"",0,1)</f>
        <v>Expense</v>
      </c>
      <c r="F192" s="3">
        <v>45628</v>
      </c>
      <c r="G192" s="1">
        <f>MONTH(Table4[[#This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_xlfn.XLOOKUP(Table4[[#This Row],[Category]],Table2[Category],Table2[Type],"",0,1)</f>
        <v>Expense</v>
      </c>
      <c r="F193" s="3">
        <v>45628</v>
      </c>
      <c r="G193" s="1">
        <f>MONTH(Table4[[#This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_xlfn.XLOOKUP(Table4[[#This Row],[Category]],Table2[Category],Table2[Type],"",0,1)</f>
        <v>Expense</v>
      </c>
      <c r="F194" s="3">
        <v>45629</v>
      </c>
      <c r="G194" s="1">
        <f>MONTH(Table4[[#This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_xlfn.XLOOKUP(Table4[[#This Row],[Category]],Table2[Category],Table2[Type],"",0,1)</f>
        <v>Expense</v>
      </c>
      <c r="F195" s="3">
        <v>45629</v>
      </c>
      <c r="G195" s="1">
        <f>MONTH(Table4[[#This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_xlfn.XLOOKUP(Table4[[#This Row],[Category]],Table2[Category],Table2[Type],"",0,1)</f>
        <v>Expense</v>
      </c>
      <c r="F196" s="3">
        <v>45632</v>
      </c>
      <c r="G196" s="1">
        <f>MONTH(Table4[[#This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_xlfn.XLOOKUP(Table4[[#This Row],[Category]],Table2[Category],Table2[Type],"",0,1)</f>
        <v>Expense</v>
      </c>
      <c r="F197" s="3">
        <v>45632</v>
      </c>
      <c r="G197" s="1">
        <f>MONTH(Table4[[#This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_xlfn.XLOOKUP(Table4[[#This Row],[Category]],Table2[Category],Table2[Type],"",0,1)</f>
        <v>Income</v>
      </c>
      <c r="F198" s="3">
        <v>45636</v>
      </c>
      <c r="G198" s="1">
        <f>MONTH(Table4[[#This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_xlfn.XLOOKUP(Table4[[#This Row],[Category]],Table2[Category],Table2[Type],"",0,1)</f>
        <v>Expense</v>
      </c>
      <c r="F199" s="3">
        <v>45637</v>
      </c>
      <c r="G199" s="1">
        <f>MONTH(Table4[[#This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_xlfn.XLOOKUP(Table4[[#This Row],[Category]],Table2[Category],Table2[Type],"",0,1)</f>
        <v>Expense</v>
      </c>
      <c r="F200" s="3">
        <v>45640</v>
      </c>
      <c r="G200" s="1">
        <f>MONTH(Table4[[#This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_xlfn.XLOOKUP(Table4[[#This Row],[Category]],Table2[Category],Table2[Type],"",0,1)</f>
        <v>Expense</v>
      </c>
      <c r="F201" s="3">
        <v>45641</v>
      </c>
      <c r="G201" s="1">
        <f>MONTH(Table4[[#This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_xlfn.XLOOKUP(Table4[[#This Row],[Category]],Table2[Category],Table2[Type],"",0,1)</f>
        <v>Expense</v>
      </c>
      <c r="F202" s="3">
        <v>45644</v>
      </c>
      <c r="G202" s="1">
        <f>MONTH(Table4[[#This Row],[Date]])</f>
        <v>12</v>
      </c>
    </row>
    <row r="203" spans="1:7" x14ac:dyDescent="0.25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_xlfn.XLOOKUP(Table4[[#This Row],[Category]],Table2[Category],Table2[Type],"",0,1)</f>
        <v>Income</v>
      </c>
      <c r="F203" s="3">
        <v>45648</v>
      </c>
      <c r="G203" s="1">
        <f>MONTH(Table4[[#This Row],[Date]])</f>
        <v>12</v>
      </c>
    </row>
    <row r="204" spans="1:7" x14ac:dyDescent="0.25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_xlfn.XLOOKUP(Table4[[#This Row],[Category]],Table2[Category],Table2[Type],"",0,1)</f>
        <v>Expense</v>
      </c>
      <c r="F204" s="3">
        <v>45649</v>
      </c>
      <c r="G204" s="1">
        <f>MONTH(Table4[[#This Row],[Date]])</f>
        <v>12</v>
      </c>
    </row>
    <row r="205" spans="1:7" x14ac:dyDescent="0.25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_xlfn.XLOOKUP(Table4[[#This Row],[Category]],Table2[Category],Table2[Type],"",0,1)</f>
        <v>Income</v>
      </c>
      <c r="F205" s="3">
        <v>45650</v>
      </c>
      <c r="G205" s="1">
        <f>MONTH(Table4[[#This Row],[Date]])</f>
        <v>12</v>
      </c>
    </row>
    <row r="206" spans="1:7" x14ac:dyDescent="0.25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_xlfn.XLOOKUP(Table4[[#This Row],[Category]],Table2[Category],Table2[Type],"",0,1)</f>
        <v>Expense</v>
      </c>
      <c r="F206" s="3">
        <v>45654</v>
      </c>
      <c r="G206" s="1">
        <f>MONTH(Table4[[#This Row],[Date]])</f>
        <v>12</v>
      </c>
    </row>
    <row r="207" spans="1:7" x14ac:dyDescent="0.25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_xlfn.XLOOKUP(Table4[[#This Row],[Category]],Table2[Category],Table2[Type],"",0,1)</f>
        <v>Expense</v>
      </c>
      <c r="F207" s="3">
        <v>45656</v>
      </c>
      <c r="G207" s="1">
        <f>MONTH(Table4[[#This Row],[Date]])</f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DD2E5-04A4-45E1-8F09-B1B13BA15048}">
  <dimension ref="A1:K17"/>
  <sheetViews>
    <sheetView tabSelected="1" workbookViewId="0">
      <selection activeCell="E18" sqref="E18"/>
    </sheetView>
  </sheetViews>
  <sheetFormatPr defaultRowHeight="15" x14ac:dyDescent="0.25"/>
  <cols>
    <col min="1" max="1" width="10.7109375" customWidth="1"/>
    <col min="2" max="2" width="18.42578125" customWidth="1"/>
    <col min="3" max="3" width="18" customWidth="1"/>
    <col min="4" max="4" width="13" customWidth="1"/>
    <col min="5" max="5" width="16.85546875" customWidth="1"/>
    <col min="7" max="7" width="14.42578125" customWidth="1"/>
    <col min="10" max="10" width="14.5703125" customWidth="1"/>
  </cols>
  <sheetData>
    <row r="1" spans="1:11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t="s">
        <v>39</v>
      </c>
      <c r="J1" t="s">
        <v>3</v>
      </c>
      <c r="K1" t="s">
        <v>39</v>
      </c>
    </row>
    <row r="2" spans="1:11" x14ac:dyDescent="0.25">
      <c r="A2" t="s">
        <v>37</v>
      </c>
      <c r="B2" t="s">
        <v>8</v>
      </c>
      <c r="C2" s="5">
        <v>100</v>
      </c>
      <c r="D2" s="5" t="s">
        <v>41</v>
      </c>
      <c r="E2" s="5" t="e">
        <f>Table1[[#This Row],[Operations]]+Table1[[#This Row],[Operations]]</f>
        <v>#VALUE!</v>
      </c>
      <c r="G2" t="s">
        <v>25</v>
      </c>
      <c r="H2" s="7"/>
      <c r="J2" t="s">
        <v>18</v>
      </c>
      <c r="K2" s="7"/>
    </row>
    <row r="3" spans="1:11" x14ac:dyDescent="0.25">
      <c r="A3" t="s">
        <v>37</v>
      </c>
      <c r="B3" t="s">
        <v>12</v>
      </c>
      <c r="C3" s="5">
        <v>10.5</v>
      </c>
      <c r="D3" s="5"/>
      <c r="E3" s="5">
        <f>Table1[[#This Row],[Operations]]+Table1[[#This Row],[Operations]]</f>
        <v>0</v>
      </c>
      <c r="G3" t="s">
        <v>28</v>
      </c>
      <c r="H3" s="7"/>
      <c r="J3" t="s">
        <v>22</v>
      </c>
      <c r="K3" s="7"/>
    </row>
    <row r="4" spans="1:11" x14ac:dyDescent="0.25">
      <c r="A4" t="s">
        <v>7</v>
      </c>
      <c r="B4" t="s">
        <v>8</v>
      </c>
      <c r="C4" s="5">
        <v>600</v>
      </c>
      <c r="D4" s="5"/>
      <c r="E4" s="5">
        <f>Table1[[#This Row],[Operations]]+Table1[[#This Row],[Operations]]</f>
        <v>0</v>
      </c>
      <c r="G4" t="s">
        <v>29</v>
      </c>
      <c r="H4" s="7"/>
      <c r="J4" t="s">
        <v>20</v>
      </c>
      <c r="K4" s="7"/>
    </row>
    <row r="5" spans="1:11" x14ac:dyDescent="0.25">
      <c r="A5" t="s">
        <v>7</v>
      </c>
      <c r="B5" t="s">
        <v>9</v>
      </c>
      <c r="C5" s="5"/>
      <c r="D5" s="5"/>
      <c r="E5" s="5">
        <f>Table1[[#This Row],[Operations]]+Table1[[#This Row],[Operations]]</f>
        <v>0</v>
      </c>
      <c r="G5" t="s">
        <v>38</v>
      </c>
      <c r="H5" s="7"/>
      <c r="J5" t="s">
        <v>17</v>
      </c>
      <c r="K5" s="7"/>
    </row>
    <row r="6" spans="1:11" x14ac:dyDescent="0.25">
      <c r="A6" t="s">
        <v>7</v>
      </c>
      <c r="B6" t="s">
        <v>10</v>
      </c>
      <c r="C6" s="5">
        <v>2000</v>
      </c>
      <c r="D6" s="5"/>
      <c r="E6" s="5">
        <f>Table1[[#This Row],[Operations]]+Table1[[#This Row],[Operations]]</f>
        <v>0</v>
      </c>
      <c r="G6" t="s">
        <v>26</v>
      </c>
      <c r="H6" s="7"/>
      <c r="J6" t="s">
        <v>21</v>
      </c>
      <c r="K6" s="7"/>
    </row>
    <row r="7" spans="1:11" x14ac:dyDescent="0.25">
      <c r="A7" t="s">
        <v>13</v>
      </c>
      <c r="B7" t="s">
        <v>15</v>
      </c>
      <c r="C7" s="5">
        <v>200</v>
      </c>
      <c r="D7" s="5"/>
      <c r="E7" s="5">
        <f>Table1[[#This Row],[Operations]]+Table1[[#This Row],[Operations]]</f>
        <v>0</v>
      </c>
      <c r="G7" t="s">
        <v>27</v>
      </c>
      <c r="H7" s="7"/>
      <c r="J7" t="s">
        <v>19</v>
      </c>
      <c r="K7" s="7"/>
    </row>
    <row r="8" spans="1:11" x14ac:dyDescent="0.25">
      <c r="A8" t="s">
        <v>13</v>
      </c>
      <c r="B8" t="s">
        <v>14</v>
      </c>
      <c r="C8" s="5">
        <v>30</v>
      </c>
      <c r="D8" s="5"/>
      <c r="E8" s="5">
        <f>Table1[[#This Row],[Operations]]+Table1[[#This Row],[Operations]]</f>
        <v>0</v>
      </c>
      <c r="G8" s="4" t="s">
        <v>39</v>
      </c>
      <c r="H8" s="6">
        <f>SUBTOTAL(103,Table3[Total])</f>
        <v>0</v>
      </c>
      <c r="J8" t="s">
        <v>24</v>
      </c>
      <c r="K8" s="7"/>
    </row>
    <row r="9" spans="1:11" x14ac:dyDescent="0.25">
      <c r="A9" t="s">
        <v>39</v>
      </c>
      <c r="C9" s="5">
        <f>SUBTOTAL(109,Table1[Opening balance])</f>
        <v>2940.5</v>
      </c>
      <c r="D9" s="5">
        <f>SUBTOTAL(109,Table1[Operations])</f>
        <v>0</v>
      </c>
      <c r="E9" s="6" t="e">
        <f>SUBTOTAL(109,Table1[Closing balance])</f>
        <v>#VALUE!</v>
      </c>
      <c r="J9" t="s">
        <v>23</v>
      </c>
      <c r="K9" s="7"/>
    </row>
    <row r="10" spans="1:11" x14ac:dyDescent="0.25">
      <c r="J10" t="s">
        <v>16</v>
      </c>
      <c r="K10" s="7"/>
    </row>
    <row r="11" spans="1:11" x14ac:dyDescent="0.25">
      <c r="A11" s="8" t="s">
        <v>6</v>
      </c>
      <c r="B11" s="8" t="str" cm="1">
        <f t="array" aca="1" ref="B11" ca="1">RIGHT(CELL("filename",A1),LEN(CELL("filename",A1))-FIND("]",CELL("filename",A1)))</f>
        <v>1</v>
      </c>
      <c r="J11" t="s">
        <v>39</v>
      </c>
      <c r="K11" s="5">
        <f>SUBTOTAL(103,Table5[Total])</f>
        <v>0</v>
      </c>
    </row>
    <row r="13" spans="1:11" x14ac:dyDescent="0.25">
      <c r="A13" t="s">
        <v>4</v>
      </c>
      <c r="B13" t="s">
        <v>39</v>
      </c>
    </row>
    <row r="14" spans="1:11" x14ac:dyDescent="0.25">
      <c r="A14" t="s">
        <v>32</v>
      </c>
      <c r="B14" s="5"/>
    </row>
    <row r="15" spans="1:11" x14ac:dyDescent="0.25">
      <c r="A15" t="s">
        <v>33</v>
      </c>
      <c r="B15" s="5"/>
    </row>
    <row r="16" spans="1:11" x14ac:dyDescent="0.25">
      <c r="A16" t="s">
        <v>31</v>
      </c>
      <c r="B16" s="5"/>
    </row>
    <row r="17" spans="1:2" x14ac:dyDescent="0.25">
      <c r="A17" t="s">
        <v>39</v>
      </c>
      <c r="B17" s="5">
        <f>SUBTOTAL(103,Table6[Total])</f>
        <v>0</v>
      </c>
    </row>
  </sheetData>
  <pageMargins left="0.7" right="0.7" top="0.75" bottom="0.75" header="0.3" footer="0.3"/>
  <pageSetup paperSize="9" orientation="portrait" horizontalDpi="300" verticalDpi="0" copies="0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dictionary</vt:lpstr>
      <vt:lpstr>operations</vt:lpstr>
      <vt:lpstr>1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en-A013-11</cp:lastModifiedBy>
  <dcterms:created xsi:type="dcterms:W3CDTF">2024-12-14T15:11:08Z</dcterms:created>
  <dcterms:modified xsi:type="dcterms:W3CDTF">2025-11-26T13:47:26Z</dcterms:modified>
</cp:coreProperties>
</file>